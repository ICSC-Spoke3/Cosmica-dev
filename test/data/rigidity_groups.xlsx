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ark/Development/Research/Cosmica-dev/test/data/"/>
    </mc:Choice>
  </mc:AlternateContent>
  <xr:revisionPtr revIDLastSave="0" documentId="13_ncr:1_{CB5C4BFF-A9B1-DB40-B505-5DFD8812F0DA}" xr6:coauthVersionLast="47" xr6:coauthVersionMax="47" xr10:uidLastSave="{00000000-0000-0000-0000-000000000000}"/>
  <bookViews>
    <workbookView xWindow="30240" yWindow="-9380" windowWidth="51200" windowHeight="211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50" i="1"/>
  <c r="G51" i="1"/>
  <c r="G52" i="1"/>
  <c r="G53" i="1"/>
  <c r="G49" i="1"/>
  <c r="G45" i="1"/>
  <c r="G46" i="1"/>
  <c r="G47" i="1"/>
  <c r="G48" i="1"/>
  <c r="G44" i="1"/>
  <c r="G40" i="1"/>
  <c r="G41" i="1"/>
  <c r="G42" i="1"/>
  <c r="G43" i="1"/>
  <c r="G39" i="1"/>
  <c r="G35" i="1"/>
  <c r="G36" i="1"/>
  <c r="G37" i="1"/>
  <c r="G38" i="1"/>
  <c r="G34" i="1"/>
  <c r="G31" i="1"/>
  <c r="G32" i="1"/>
  <c r="G33" i="1"/>
  <c r="G30" i="1"/>
  <c r="G28" i="1"/>
  <c r="G29" i="1"/>
  <c r="G27" i="1"/>
  <c r="G26" i="1"/>
  <c r="G25" i="1"/>
  <c r="G24" i="1"/>
</calcChain>
</file>

<file path=xl/sharedStrings.xml><?xml version="1.0" encoding="utf-8"?>
<sst xmlns="http://schemas.openxmlformats.org/spreadsheetml/2006/main" count="7" uniqueCount="7">
  <si>
    <t>Rigidity</t>
  </si>
  <si>
    <t>Rigidity Min</t>
  </si>
  <si>
    <t>Rigidity Max</t>
  </si>
  <si>
    <t>Rigidity Bucket</t>
  </si>
  <si>
    <t>Rigidity Bucket Min</t>
  </si>
  <si>
    <t>Rigidity Bucket Max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</si>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</sst>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Calibri"/>
      <family val="1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5" xfId="0" applyNumberFormat="1" applyFont="1" applyBorder="1" applyAlignment="1">
      <alignment horizontal="center" vertical="top" shrinkToFit="1"/>
    </xf>
    <xf numFmtId="2" fontId="2" fillId="0" borderId="6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0" xfId="0" applyNumberFormat="1" applyFont="1" applyAlignment="1">
      <alignment horizontal="center" vertical="top" shrinkToFit="1"/>
    </xf>
    <xf numFmtId="2" fontId="2" fillId="0" borderId="3" xfId="0" applyNumberFormat="1" applyFont="1" applyBorder="1" applyAlignment="1">
      <alignment horizontal="center" vertical="top" shrinkToFit="1"/>
    </xf>
    <xf numFmtId="2" fontId="2" fillId="0" borderId="4" xfId="0" applyNumberFormat="1" applyFont="1" applyBorder="1" applyAlignment="1">
      <alignment horizontal="center" vertical="top" shrinkToFit="1"/>
    </xf>
    <xf numFmtId="2" fontId="2" fillId="0" borderId="11" xfId="0" applyNumberFormat="1" applyFont="1" applyBorder="1" applyAlignment="1">
      <alignment horizontal="center" vertical="top" shrinkToFit="1"/>
    </xf>
    <xf numFmtId="2" fontId="2" fillId="0" borderId="12" xfId="0" applyNumberFormat="1" applyFont="1" applyBorder="1" applyAlignment="1">
      <alignment horizontal="center" vertical="top" shrinkToFit="1"/>
    </xf>
    <xf numFmtId="2" fontId="3" fillId="0" borderId="13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2" fillId="0" borderId="6" xfId="0" applyNumberFormat="1" applyFont="1" applyBorder="1" applyAlignment="1">
      <alignment horizontal="center" vertical="top" shrinkToFit="1"/>
    </xf>
    <xf numFmtId="2" fontId="2" fillId="0" borderId="7" xfId="0" applyNumberFormat="1" applyFont="1" applyBorder="1" applyAlignment="1">
      <alignment horizontal="center" vertical="top" shrinkToFit="1"/>
    </xf>
    <xf numFmtId="2" fontId="2" fillId="0" borderId="9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0" xfId="0" applyNumberFormat="1" applyFont="1" applyAlignment="1">
      <alignment horizontal="center" vertical="top" shrinkToFit="1"/>
    </xf>
    <xf numFmtId="2" fontId="2" fillId="0" borderId="3" xfId="0" applyNumberFormat="1" applyFont="1" applyBorder="1" applyAlignment="1">
      <alignment horizontal="center" vertical="top" shrinkToFit="1"/>
    </xf>
    <xf numFmtId="2" fontId="2" fillId="0" borderId="14" xfId="0" applyNumberFormat="1" applyFont="1" applyBorder="1" applyAlignment="1">
      <alignment horizontal="center" vertical="top" shrinkToFit="1"/>
    </xf>
    <xf numFmtId="2" fontId="2" fillId="0" borderId="8" xfId="0" applyNumberFormat="1" applyFont="1" applyBorder="1" applyAlignment="1">
      <alignment horizontal="center" vertical="top" shrinkToFit="1"/>
    </xf>
    <xf numFmtId="2" fontId="2" fillId="0" borderId="0" xfId="0" applyNumberFormat="1" applyFont="1" applyBorder="1" applyAlignment="1">
      <alignment horizontal="center" vertical="top" shrinkToFit="1"/>
    </xf>
    <xf numFmtId="0" fontId="1" fillId="0" borderId="16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23" zoomScale="156" workbookViewId="0">
      <selection activeCell="D10" sqref="D10"/>
    </sheetView>
  </sheetViews>
  <sheetFormatPr baseColWidth="10" defaultColWidth="9" defaultRowHeight="13" x14ac:dyDescent="0.15"/>
  <cols>
    <col min="1" max="1" width="14" customWidth="1"/>
    <col min="2" max="2" width="18.59765625" customWidth="1"/>
    <col min="3" max="3" width="17.3984375" customWidth="1"/>
    <col min="4" max="4" width="14" customWidth="1"/>
    <col min="5" max="5" width="18.59765625" customWidth="1"/>
    <col min="6" max="6" width="17.3984375" customWidth="1"/>
  </cols>
  <sheetData>
    <row r="1" spans="1:7" ht="13.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3" t="s">
        <v>6</v>
      </c>
    </row>
    <row r="2" spans="1:7" ht="13.5" customHeight="1" x14ac:dyDescent="0.15">
      <c r="A2" s="3">
        <v>1.08</v>
      </c>
      <c r="B2" s="3">
        <v>1</v>
      </c>
      <c r="C2" s="3">
        <v>1.1599999999999999</v>
      </c>
      <c r="D2" s="4">
        <v>1.08</v>
      </c>
      <c r="E2" s="3">
        <v>1</v>
      </c>
      <c r="F2" s="3">
        <v>1.1599999999999999</v>
      </c>
      <c r="G2" s="24">
        <f>(C2-B2)/(F2-E2)</f>
        <v>1</v>
      </c>
    </row>
    <row r="3" spans="1:7" ht="13.5" customHeight="1" x14ac:dyDescent="0.15">
      <c r="A3" s="3">
        <v>1.2450000000000001</v>
      </c>
      <c r="B3" s="3">
        <v>1.1599999999999999</v>
      </c>
      <c r="C3" s="3">
        <v>1.33</v>
      </c>
      <c r="D3" s="4">
        <v>1.2450000000000001</v>
      </c>
      <c r="E3" s="3">
        <v>1.1599999999999999</v>
      </c>
      <c r="F3" s="3">
        <v>1.33</v>
      </c>
      <c r="G3" s="24">
        <f t="shared" ref="G3:G53" si="0">(C3-B3)/(F3-E3)</f>
        <v>1</v>
      </c>
    </row>
    <row r="4" spans="1:7" ht="13.5" customHeight="1" x14ac:dyDescent="0.15">
      <c r="A4" s="3">
        <v>1.42</v>
      </c>
      <c r="B4" s="3">
        <v>1.33</v>
      </c>
      <c r="C4" s="3">
        <v>1.51</v>
      </c>
      <c r="D4" s="4">
        <v>1.42</v>
      </c>
      <c r="E4" s="3">
        <v>1.33</v>
      </c>
      <c r="F4" s="3">
        <v>1.51</v>
      </c>
      <c r="G4" s="24">
        <f t="shared" si="0"/>
        <v>1</v>
      </c>
    </row>
    <row r="5" spans="1:7" ht="13.5" customHeight="1" x14ac:dyDescent="0.15">
      <c r="A5" s="3">
        <v>1.61</v>
      </c>
      <c r="B5" s="3">
        <v>1.51</v>
      </c>
      <c r="C5" s="3">
        <v>1.71</v>
      </c>
      <c r="D5" s="4">
        <v>1.61</v>
      </c>
      <c r="E5" s="3">
        <v>1.51</v>
      </c>
      <c r="F5" s="3">
        <v>1.71</v>
      </c>
      <c r="G5" s="24">
        <f t="shared" si="0"/>
        <v>1</v>
      </c>
    </row>
    <row r="6" spans="1:7" ht="13.5" customHeight="1" x14ac:dyDescent="0.15">
      <c r="A6" s="3">
        <v>1.8149999999999999</v>
      </c>
      <c r="B6" s="3">
        <v>1.71</v>
      </c>
      <c r="C6" s="3">
        <v>1.92</v>
      </c>
      <c r="D6" s="4">
        <v>1.8149999999999999</v>
      </c>
      <c r="E6" s="3">
        <v>1.71</v>
      </c>
      <c r="F6" s="3">
        <v>1.92</v>
      </c>
      <c r="G6" s="24">
        <f t="shared" si="0"/>
        <v>1</v>
      </c>
    </row>
    <row r="7" spans="1:7" ht="13.5" customHeight="1" x14ac:dyDescent="0.15">
      <c r="A7" s="3">
        <v>2.0350000000000001</v>
      </c>
      <c r="B7" s="3">
        <v>1.92</v>
      </c>
      <c r="C7" s="3">
        <v>2.15</v>
      </c>
      <c r="D7" s="4">
        <v>2.0350000000000001</v>
      </c>
      <c r="E7" s="3">
        <v>1.92</v>
      </c>
      <c r="F7" s="3">
        <v>2.15</v>
      </c>
      <c r="G7" s="24">
        <f t="shared" si="0"/>
        <v>1</v>
      </c>
    </row>
    <row r="8" spans="1:7" ht="13.5" customHeight="1" x14ac:dyDescent="0.15">
      <c r="A8" s="3">
        <v>2.2749999999999999</v>
      </c>
      <c r="B8" s="3">
        <v>2.15</v>
      </c>
      <c r="C8" s="3">
        <v>2.4</v>
      </c>
      <c r="D8" s="4">
        <v>2.2749999999999999</v>
      </c>
      <c r="E8" s="3">
        <v>2.15</v>
      </c>
      <c r="F8" s="3">
        <v>2.4</v>
      </c>
      <c r="G8" s="24">
        <f t="shared" si="0"/>
        <v>1</v>
      </c>
    </row>
    <row r="9" spans="1:7" ht="13.5" customHeight="1" x14ac:dyDescent="0.15">
      <c r="A9" s="3">
        <v>2.5350000000000001</v>
      </c>
      <c r="B9" s="3">
        <v>2.4</v>
      </c>
      <c r="C9" s="3">
        <v>2.67</v>
      </c>
      <c r="D9" s="4">
        <v>2.5350000000000001</v>
      </c>
      <c r="E9" s="3">
        <v>2.4</v>
      </c>
      <c r="F9" s="3">
        <v>2.67</v>
      </c>
      <c r="G9" s="24">
        <f t="shared" si="0"/>
        <v>1</v>
      </c>
    </row>
    <row r="10" spans="1:7" ht="13.5" customHeight="1" x14ac:dyDescent="0.15">
      <c r="A10" s="3">
        <v>2.82</v>
      </c>
      <c r="B10" s="3">
        <v>2.67</v>
      </c>
      <c r="C10" s="3">
        <v>2.97</v>
      </c>
      <c r="D10" s="4">
        <v>2.82</v>
      </c>
      <c r="E10" s="3">
        <v>2.67</v>
      </c>
      <c r="F10" s="3">
        <v>2.97</v>
      </c>
      <c r="G10" s="24">
        <f t="shared" si="0"/>
        <v>1</v>
      </c>
    </row>
    <row r="11" spans="1:7" ht="13.5" customHeight="1" x14ac:dyDescent="0.15">
      <c r="A11" s="3">
        <v>3.13</v>
      </c>
      <c r="B11" s="3">
        <v>2.97</v>
      </c>
      <c r="C11" s="3">
        <v>3.29</v>
      </c>
      <c r="D11" s="4">
        <v>3.13</v>
      </c>
      <c r="E11" s="3">
        <v>2.97</v>
      </c>
      <c r="F11" s="3">
        <v>3.29</v>
      </c>
      <c r="G11" s="24">
        <f t="shared" si="0"/>
        <v>1</v>
      </c>
    </row>
    <row r="12" spans="1:7" ht="13.5" customHeight="1" x14ac:dyDescent="0.15">
      <c r="A12" s="3">
        <v>3.4649999999999999</v>
      </c>
      <c r="B12" s="3">
        <v>3.29</v>
      </c>
      <c r="C12" s="3">
        <v>3.64</v>
      </c>
      <c r="D12" s="4">
        <v>3.4649999999999999</v>
      </c>
      <c r="E12" s="3">
        <v>3.29</v>
      </c>
      <c r="F12" s="3">
        <v>3.64</v>
      </c>
      <c r="G12" s="24">
        <f t="shared" si="0"/>
        <v>1</v>
      </c>
    </row>
    <row r="13" spans="1:7" ht="13.5" customHeight="1" x14ac:dyDescent="0.15">
      <c r="A13" s="3">
        <v>3.83</v>
      </c>
      <c r="B13" s="3">
        <v>3.64</v>
      </c>
      <c r="C13" s="3">
        <v>4.0199999999999996</v>
      </c>
      <c r="D13" s="4">
        <v>3.83</v>
      </c>
      <c r="E13" s="3">
        <v>3.64</v>
      </c>
      <c r="F13" s="3">
        <v>4.0199999999999996</v>
      </c>
      <c r="G13" s="24">
        <f t="shared" si="0"/>
        <v>1</v>
      </c>
    </row>
    <row r="14" spans="1:7" ht="13.5" customHeight="1" x14ac:dyDescent="0.15">
      <c r="A14" s="3">
        <v>4.2249999999999996</v>
      </c>
      <c r="B14" s="3">
        <v>4.0199999999999996</v>
      </c>
      <c r="C14" s="3">
        <v>4.43</v>
      </c>
      <c r="D14" s="4">
        <v>4.2249999999999996</v>
      </c>
      <c r="E14" s="3">
        <v>4.0199999999999996</v>
      </c>
      <c r="F14" s="3">
        <v>4.43</v>
      </c>
      <c r="G14" s="24">
        <f t="shared" si="0"/>
        <v>1</v>
      </c>
    </row>
    <row r="15" spans="1:7" ht="13.5" customHeight="1" x14ac:dyDescent="0.15">
      <c r="A15" s="3">
        <v>4.6550000000000002</v>
      </c>
      <c r="B15" s="3">
        <v>4.43</v>
      </c>
      <c r="C15" s="3">
        <v>4.88</v>
      </c>
      <c r="D15" s="4">
        <v>4.6550000000000002</v>
      </c>
      <c r="E15" s="3">
        <v>4.43</v>
      </c>
      <c r="F15" s="3">
        <v>4.88</v>
      </c>
      <c r="G15" s="24">
        <f t="shared" si="0"/>
        <v>1</v>
      </c>
    </row>
    <row r="16" spans="1:7" ht="13.5" customHeight="1" x14ac:dyDescent="0.15">
      <c r="A16" s="3">
        <v>5.125</v>
      </c>
      <c r="B16" s="3">
        <v>4.88</v>
      </c>
      <c r="C16" s="3">
        <v>5.37</v>
      </c>
      <c r="D16" s="4">
        <v>5.125</v>
      </c>
      <c r="E16" s="3">
        <v>4.88</v>
      </c>
      <c r="F16" s="3">
        <v>5.37</v>
      </c>
      <c r="G16" s="24">
        <f t="shared" si="0"/>
        <v>1</v>
      </c>
    </row>
    <row r="17" spans="1:7" ht="13.5" customHeight="1" x14ac:dyDescent="0.15">
      <c r="A17" s="3">
        <v>5.6349999999999998</v>
      </c>
      <c r="B17" s="3">
        <v>5.37</v>
      </c>
      <c r="C17" s="3">
        <v>5.9</v>
      </c>
      <c r="D17" s="4">
        <v>5.6349999999999998</v>
      </c>
      <c r="E17" s="3">
        <v>5.37</v>
      </c>
      <c r="F17" s="3">
        <v>5.9</v>
      </c>
      <c r="G17" s="24">
        <f t="shared" si="0"/>
        <v>1</v>
      </c>
    </row>
    <row r="18" spans="1:7" ht="13.5" customHeight="1" x14ac:dyDescent="0.15">
      <c r="A18" s="3">
        <v>6.1849999999999996</v>
      </c>
      <c r="B18" s="3">
        <v>5.9</v>
      </c>
      <c r="C18" s="3">
        <v>6.47</v>
      </c>
      <c r="D18" s="4">
        <v>6.1849999999999996</v>
      </c>
      <c r="E18" s="3">
        <v>5.9</v>
      </c>
      <c r="F18" s="3">
        <v>6.47</v>
      </c>
      <c r="G18" s="24">
        <f t="shared" si="0"/>
        <v>1</v>
      </c>
    </row>
    <row r="19" spans="1:7" ht="13.5" customHeight="1" x14ac:dyDescent="0.15">
      <c r="A19" s="3">
        <v>6.78</v>
      </c>
      <c r="B19" s="3">
        <v>6.47</v>
      </c>
      <c r="C19" s="3">
        <v>7.09</v>
      </c>
      <c r="D19" s="4">
        <v>6.78</v>
      </c>
      <c r="E19" s="3">
        <v>6.47</v>
      </c>
      <c r="F19" s="3">
        <v>7.09</v>
      </c>
      <c r="G19" s="24">
        <f t="shared" si="0"/>
        <v>1</v>
      </c>
    </row>
    <row r="20" spans="1:7" ht="13.5" customHeight="1" x14ac:dyDescent="0.15">
      <c r="A20" s="3">
        <v>7.4249999999999998</v>
      </c>
      <c r="B20" s="3">
        <v>7.09</v>
      </c>
      <c r="C20" s="3">
        <v>7.76</v>
      </c>
      <c r="D20" s="4">
        <v>7.4249999999999998</v>
      </c>
      <c r="E20" s="3">
        <v>7.09</v>
      </c>
      <c r="F20" s="3">
        <v>7.76</v>
      </c>
      <c r="G20" s="24">
        <f t="shared" si="0"/>
        <v>1</v>
      </c>
    </row>
    <row r="21" spans="1:7" ht="13.5" customHeight="1" x14ac:dyDescent="0.15">
      <c r="A21" s="3">
        <v>8.1199999999999992</v>
      </c>
      <c r="B21" s="3">
        <v>7.76</v>
      </c>
      <c r="C21" s="3">
        <v>8.48</v>
      </c>
      <c r="D21" s="4">
        <v>8.1199999999999992</v>
      </c>
      <c r="E21" s="3">
        <v>7.76</v>
      </c>
      <c r="F21" s="3">
        <v>8.48</v>
      </c>
      <c r="G21" s="24">
        <f t="shared" si="0"/>
        <v>1</v>
      </c>
    </row>
    <row r="22" spans="1:7" ht="13.5" customHeight="1" x14ac:dyDescent="0.15">
      <c r="A22" s="3">
        <v>8.8699999999999992</v>
      </c>
      <c r="B22" s="3">
        <v>8.48</v>
      </c>
      <c r="C22" s="3">
        <v>9.26</v>
      </c>
      <c r="D22" s="4">
        <v>8.8699999999999992</v>
      </c>
      <c r="E22" s="3">
        <v>8.48</v>
      </c>
      <c r="F22" s="3">
        <v>9.26</v>
      </c>
      <c r="G22" s="24">
        <f t="shared" si="0"/>
        <v>1</v>
      </c>
    </row>
    <row r="23" spans="1:7" ht="13.5" customHeight="1" x14ac:dyDescent="0.15">
      <c r="A23" s="3">
        <v>9.68</v>
      </c>
      <c r="B23" s="3">
        <v>9.26</v>
      </c>
      <c r="C23" s="3">
        <v>10.1</v>
      </c>
      <c r="D23" s="4">
        <v>9.68</v>
      </c>
      <c r="E23" s="3">
        <v>9.26</v>
      </c>
      <c r="F23" s="3">
        <v>10.1</v>
      </c>
      <c r="G23" s="24">
        <f t="shared" si="0"/>
        <v>1</v>
      </c>
    </row>
    <row r="24" spans="1:7" ht="13.5" customHeight="1" x14ac:dyDescent="0.15">
      <c r="A24" s="6">
        <v>10.55</v>
      </c>
      <c r="B24" s="6">
        <v>10.1</v>
      </c>
      <c r="C24" s="6">
        <v>11</v>
      </c>
      <c r="D24" s="5">
        <v>10.55</v>
      </c>
      <c r="E24" s="3">
        <v>10.1</v>
      </c>
      <c r="F24" s="3">
        <v>11</v>
      </c>
      <c r="G24" s="24">
        <f t="shared" si="0"/>
        <v>1</v>
      </c>
    </row>
    <row r="25" spans="1:7" ht="13.5" customHeight="1" x14ac:dyDescent="0.15">
      <c r="A25" s="10">
        <v>11.5</v>
      </c>
      <c r="B25" s="11">
        <v>11</v>
      </c>
      <c r="C25" s="11">
        <v>12</v>
      </c>
      <c r="D25" s="20">
        <v>12</v>
      </c>
      <c r="E25" s="17">
        <v>11</v>
      </c>
      <c r="F25" s="17">
        <v>13</v>
      </c>
      <c r="G25" s="24">
        <f>(C25-B25)/(F$25-E$25)</f>
        <v>0.5</v>
      </c>
    </row>
    <row r="26" spans="1:7" ht="13.5" customHeight="1" x14ac:dyDescent="0.15">
      <c r="A26" s="12">
        <v>12.5</v>
      </c>
      <c r="B26" s="13">
        <v>12</v>
      </c>
      <c r="C26" s="13">
        <v>13</v>
      </c>
      <c r="D26" s="16"/>
      <c r="E26" s="19"/>
      <c r="F26" s="19"/>
      <c r="G26" s="24">
        <f>(C26-B26)/(F$25-E$25)</f>
        <v>0.5</v>
      </c>
    </row>
    <row r="27" spans="1:7" ht="13.5" customHeight="1" x14ac:dyDescent="0.15">
      <c r="A27" s="7">
        <v>13.55</v>
      </c>
      <c r="B27" s="7">
        <v>13</v>
      </c>
      <c r="C27" s="7">
        <v>14.1</v>
      </c>
      <c r="D27" s="15">
        <v>14.8</v>
      </c>
      <c r="E27" s="17">
        <v>13</v>
      </c>
      <c r="F27" s="17">
        <v>16.600000000000001</v>
      </c>
      <c r="G27" s="24">
        <f>(C27-B27)/(F$27-E$27)</f>
        <v>0.30555555555555536</v>
      </c>
    </row>
    <row r="28" spans="1:7" ht="13.5" customHeight="1" x14ac:dyDescent="0.15">
      <c r="A28" s="7">
        <v>14.7</v>
      </c>
      <c r="B28" s="7">
        <v>14.1</v>
      </c>
      <c r="C28" s="7">
        <v>15.3</v>
      </c>
      <c r="D28" s="15"/>
      <c r="E28" s="18"/>
      <c r="F28" s="22"/>
      <c r="G28" s="24">
        <f t="shared" ref="G28:G29" si="1">(C28-B28)/(F$27-E$27)</f>
        <v>0.33333333333333348</v>
      </c>
    </row>
    <row r="29" spans="1:7" ht="13.5" customHeight="1" x14ac:dyDescent="0.15">
      <c r="A29" s="8">
        <v>15.95</v>
      </c>
      <c r="B29" s="8">
        <v>15.3</v>
      </c>
      <c r="C29" s="8">
        <v>16.600000000000001</v>
      </c>
      <c r="D29" s="21"/>
      <c r="E29" s="19"/>
      <c r="F29" s="19"/>
      <c r="G29" s="24">
        <f t="shared" si="1"/>
        <v>0.36111111111111116</v>
      </c>
    </row>
    <row r="30" spans="1:7" ht="13.5" customHeight="1" x14ac:dyDescent="0.15">
      <c r="A30" s="6">
        <v>17.3</v>
      </c>
      <c r="B30" s="6">
        <v>16.600000000000001</v>
      </c>
      <c r="C30" s="6">
        <v>18</v>
      </c>
      <c r="D30" s="14">
        <v>19.7</v>
      </c>
      <c r="E30" s="17">
        <v>16.600000000000001</v>
      </c>
      <c r="F30" s="17">
        <v>22.8</v>
      </c>
      <c r="G30" s="24">
        <f>(C30-B30)/(F$30-E$30)</f>
        <v>0.22580645161290303</v>
      </c>
    </row>
    <row r="31" spans="1:7" ht="13.5" customHeight="1" x14ac:dyDescent="0.15">
      <c r="A31" s="7">
        <v>18.75</v>
      </c>
      <c r="B31" s="7">
        <v>18</v>
      </c>
      <c r="C31" s="7">
        <v>19.5</v>
      </c>
      <c r="D31" s="15"/>
      <c r="E31" s="18"/>
      <c r="F31" s="22"/>
      <c r="G31" s="24">
        <f t="shared" ref="G31:G33" si="2">(C31-B31)/(F$30-E$30)</f>
        <v>0.24193548387096778</v>
      </c>
    </row>
    <row r="32" spans="1:7" ht="13.5" customHeight="1" x14ac:dyDescent="0.15">
      <c r="A32" s="7">
        <v>20.3</v>
      </c>
      <c r="B32" s="7">
        <v>19.5</v>
      </c>
      <c r="C32" s="7">
        <v>21.1</v>
      </c>
      <c r="D32" s="15"/>
      <c r="E32" s="18"/>
      <c r="F32" s="22"/>
      <c r="G32" s="24">
        <f t="shared" si="2"/>
        <v>0.25806451612903253</v>
      </c>
    </row>
    <row r="33" spans="1:7" ht="13.5" customHeight="1" x14ac:dyDescent="0.15">
      <c r="A33" s="8">
        <v>21.95</v>
      </c>
      <c r="B33" s="8">
        <v>21.1</v>
      </c>
      <c r="C33" s="8">
        <v>22.8</v>
      </c>
      <c r="D33" s="21"/>
      <c r="E33" s="19"/>
      <c r="F33" s="19"/>
      <c r="G33" s="24">
        <f t="shared" si="2"/>
        <v>0.2741935483870967</v>
      </c>
    </row>
    <row r="34" spans="1:7" ht="13.5" customHeight="1" x14ac:dyDescent="0.15">
      <c r="A34" s="6">
        <v>23.75</v>
      </c>
      <c r="B34" s="6">
        <v>22.8</v>
      </c>
      <c r="C34" s="6">
        <v>24.7</v>
      </c>
      <c r="D34" s="14">
        <v>28.15</v>
      </c>
      <c r="E34" s="17">
        <v>22.8</v>
      </c>
      <c r="F34" s="17">
        <v>33.5</v>
      </c>
      <c r="G34" s="24">
        <f>(C34-B34)/(F$34-E$34)</f>
        <v>0.17757009345794381</v>
      </c>
    </row>
    <row r="35" spans="1:7" ht="13.5" customHeight="1" x14ac:dyDescent="0.15">
      <c r="A35" s="7">
        <v>25.7</v>
      </c>
      <c r="B35" s="7">
        <v>24.7</v>
      </c>
      <c r="C35" s="7">
        <v>26.7</v>
      </c>
      <c r="D35" s="15"/>
      <c r="E35" s="18"/>
      <c r="F35" s="22"/>
      <c r="G35" s="24">
        <f t="shared" ref="G35:G38" si="3">(C35-B35)/(F$34-E$34)</f>
        <v>0.18691588785046731</v>
      </c>
    </row>
    <row r="36" spans="1:7" ht="13.5" customHeight="1" x14ac:dyDescent="0.15">
      <c r="A36" s="7">
        <v>27.75</v>
      </c>
      <c r="B36" s="7">
        <v>26.7</v>
      </c>
      <c r="C36" s="7">
        <v>28.8</v>
      </c>
      <c r="D36" s="15"/>
      <c r="E36" s="18"/>
      <c r="F36" s="22"/>
      <c r="G36" s="24">
        <f t="shared" si="3"/>
        <v>0.19626168224299079</v>
      </c>
    </row>
    <row r="37" spans="1:7" ht="13.5" customHeight="1" x14ac:dyDescent="0.15">
      <c r="A37" s="7">
        <v>29.95</v>
      </c>
      <c r="B37" s="7">
        <v>28.8</v>
      </c>
      <c r="C37" s="7">
        <v>31.1</v>
      </c>
      <c r="D37" s="15"/>
      <c r="E37" s="18"/>
      <c r="F37" s="22"/>
      <c r="G37" s="24">
        <f t="shared" si="3"/>
        <v>0.21495327102803746</v>
      </c>
    </row>
    <row r="38" spans="1:7" ht="13.5" customHeight="1" x14ac:dyDescent="0.15">
      <c r="A38" s="8">
        <v>32.299999999999997</v>
      </c>
      <c r="B38" s="8">
        <v>31.1</v>
      </c>
      <c r="C38" s="8">
        <v>33.5</v>
      </c>
      <c r="D38" s="21"/>
      <c r="E38" s="19"/>
      <c r="F38" s="19"/>
      <c r="G38" s="24">
        <f t="shared" si="3"/>
        <v>0.22429906542056063</v>
      </c>
    </row>
    <row r="39" spans="1:7" ht="13.5" customHeight="1" x14ac:dyDescent="0.15">
      <c r="A39" s="6">
        <v>34.799999999999997</v>
      </c>
      <c r="B39" s="6">
        <v>33.5</v>
      </c>
      <c r="C39" s="6">
        <v>36.1</v>
      </c>
      <c r="D39" s="14">
        <v>41</v>
      </c>
      <c r="E39" s="17">
        <v>33.5</v>
      </c>
      <c r="F39" s="17">
        <v>48.5</v>
      </c>
      <c r="G39" s="24">
        <f>(C39-B39)/(F$39-E$39)</f>
        <v>0.17333333333333342</v>
      </c>
    </row>
    <row r="40" spans="1:7" ht="13.5" customHeight="1" x14ac:dyDescent="0.15">
      <c r="A40" s="7">
        <v>37.5</v>
      </c>
      <c r="B40" s="7">
        <v>36.1</v>
      </c>
      <c r="C40" s="7">
        <v>38.9</v>
      </c>
      <c r="D40" s="15"/>
      <c r="E40" s="18"/>
      <c r="F40" s="22"/>
      <c r="G40" s="24">
        <f t="shared" ref="G40:G43" si="4">(C40-B40)/(F$39-E$39)</f>
        <v>0.18666666666666648</v>
      </c>
    </row>
    <row r="41" spans="1:7" ht="13.5" customHeight="1" x14ac:dyDescent="0.15">
      <c r="A41" s="7">
        <v>40.4</v>
      </c>
      <c r="B41" s="7">
        <v>38.9</v>
      </c>
      <c r="C41" s="7">
        <v>41.9</v>
      </c>
      <c r="D41" s="15"/>
      <c r="E41" s="18"/>
      <c r="F41" s="22"/>
      <c r="G41" s="24">
        <f t="shared" si="4"/>
        <v>0.2</v>
      </c>
    </row>
    <row r="42" spans="1:7" ht="13.5" customHeight="1" x14ac:dyDescent="0.15">
      <c r="A42" s="7">
        <v>43.5</v>
      </c>
      <c r="B42" s="7">
        <v>41.9</v>
      </c>
      <c r="C42" s="7">
        <v>45.1</v>
      </c>
      <c r="D42" s="15"/>
      <c r="E42" s="18"/>
      <c r="F42" s="22"/>
      <c r="G42" s="24">
        <f t="shared" si="4"/>
        <v>0.21333333333333351</v>
      </c>
    </row>
    <row r="43" spans="1:7" ht="13.5" customHeight="1" x14ac:dyDescent="0.15">
      <c r="A43" s="8">
        <v>46.8</v>
      </c>
      <c r="B43" s="8">
        <v>45.1</v>
      </c>
      <c r="C43" s="8">
        <v>48.5</v>
      </c>
      <c r="D43" s="21"/>
      <c r="E43" s="19"/>
      <c r="F43" s="19"/>
      <c r="G43" s="24">
        <f t="shared" si="4"/>
        <v>0.22666666666666657</v>
      </c>
    </row>
    <row r="44" spans="1:7" ht="13.5" customHeight="1" x14ac:dyDescent="0.15">
      <c r="A44" s="6">
        <v>50.35</v>
      </c>
      <c r="B44" s="6">
        <v>48.5</v>
      </c>
      <c r="C44" s="6">
        <v>52.2</v>
      </c>
      <c r="D44" s="14">
        <v>59.1</v>
      </c>
      <c r="E44" s="17">
        <v>48.5</v>
      </c>
      <c r="F44" s="17">
        <v>69.7</v>
      </c>
      <c r="G44" s="24">
        <f>(C44-B44)/(F$44-E$44)</f>
        <v>0.17452830188679255</v>
      </c>
    </row>
    <row r="45" spans="1:7" ht="13.5" customHeight="1" x14ac:dyDescent="0.15">
      <c r="A45" s="7">
        <v>54.15</v>
      </c>
      <c r="B45" s="7">
        <v>52.2</v>
      </c>
      <c r="C45" s="7">
        <v>56.1</v>
      </c>
      <c r="D45" s="15"/>
      <c r="E45" s="18"/>
      <c r="F45" s="22"/>
      <c r="G45" s="24">
        <f t="shared" ref="G45:G48" si="5">(C45-B45)/(F$44-E$44)</f>
        <v>0.1839622641509433</v>
      </c>
    </row>
    <row r="46" spans="1:7" ht="13.5" customHeight="1" x14ac:dyDescent="0.15">
      <c r="A46" s="7">
        <v>58.2</v>
      </c>
      <c r="B46" s="7">
        <v>56.1</v>
      </c>
      <c r="C46" s="7">
        <v>60.3</v>
      </c>
      <c r="D46" s="15"/>
      <c r="E46" s="18"/>
      <c r="F46" s="22"/>
      <c r="G46" s="24">
        <f t="shared" si="5"/>
        <v>0.19811320754716957</v>
      </c>
    </row>
    <row r="47" spans="1:7" ht="13.5" customHeight="1" x14ac:dyDescent="0.15">
      <c r="A47" s="7">
        <v>62.55</v>
      </c>
      <c r="B47" s="7">
        <v>60.3</v>
      </c>
      <c r="C47" s="7">
        <v>64.8</v>
      </c>
      <c r="D47" s="15"/>
      <c r="E47" s="18"/>
      <c r="F47" s="22"/>
      <c r="G47" s="24">
        <f t="shared" si="5"/>
        <v>0.21226415094339621</v>
      </c>
    </row>
    <row r="48" spans="1:7" ht="13.5" customHeight="1" x14ac:dyDescent="0.15">
      <c r="A48" s="8">
        <v>67.25</v>
      </c>
      <c r="B48" s="8">
        <v>64.8</v>
      </c>
      <c r="C48" s="8">
        <v>69.7</v>
      </c>
      <c r="D48" s="21"/>
      <c r="E48" s="19"/>
      <c r="F48" s="19"/>
      <c r="G48" s="24">
        <f t="shared" si="5"/>
        <v>0.23113207547169834</v>
      </c>
    </row>
    <row r="49" spans="1:7" ht="13.5" customHeight="1" x14ac:dyDescent="0.15">
      <c r="A49" s="6">
        <v>72.3</v>
      </c>
      <c r="B49" s="6">
        <v>69.7</v>
      </c>
      <c r="C49" s="6">
        <v>74.900000000000006</v>
      </c>
      <c r="D49" s="14">
        <v>84.85</v>
      </c>
      <c r="E49" s="17">
        <v>69.7</v>
      </c>
      <c r="F49" s="17">
        <v>100</v>
      </c>
      <c r="G49" s="24">
        <f>(C49-B49)/(F$49-E$49)</f>
        <v>0.17161716171617172</v>
      </c>
    </row>
    <row r="50" spans="1:7" ht="13.5" customHeight="1" x14ac:dyDescent="0.15">
      <c r="A50" s="7">
        <v>77.7</v>
      </c>
      <c r="B50" s="7">
        <v>74.900000000000006</v>
      </c>
      <c r="C50" s="7">
        <v>80.5</v>
      </c>
      <c r="D50" s="15"/>
      <c r="E50" s="18"/>
      <c r="F50" s="22"/>
      <c r="G50" s="24">
        <f t="shared" ref="G50:G53" si="6">(C50-B50)/(F$49-E$49)</f>
        <v>0.18481848184818464</v>
      </c>
    </row>
    <row r="51" spans="1:7" ht="13.5" customHeight="1" x14ac:dyDescent="0.15">
      <c r="A51" s="7">
        <v>83.5</v>
      </c>
      <c r="B51" s="7">
        <v>80.5</v>
      </c>
      <c r="C51" s="7">
        <v>86.5</v>
      </c>
      <c r="D51" s="15"/>
      <c r="E51" s="18"/>
      <c r="F51" s="22"/>
      <c r="G51" s="24">
        <f t="shared" si="6"/>
        <v>0.19801980198019803</v>
      </c>
    </row>
    <row r="52" spans="1:7" ht="15" customHeight="1" x14ac:dyDescent="0.15">
      <c r="A52" s="7">
        <v>89.75</v>
      </c>
      <c r="B52" s="7">
        <v>86.5</v>
      </c>
      <c r="C52" s="7">
        <v>93</v>
      </c>
      <c r="D52" s="15"/>
      <c r="E52" s="18"/>
      <c r="F52" s="22"/>
      <c r="G52" s="24">
        <f t="shared" si="6"/>
        <v>0.21452145214521454</v>
      </c>
    </row>
    <row r="53" spans="1:7" ht="13.5" customHeight="1" x14ac:dyDescent="0.15">
      <c r="A53" s="8">
        <v>96.5</v>
      </c>
      <c r="B53" s="8">
        <v>93</v>
      </c>
      <c r="C53" s="9">
        <v>100</v>
      </c>
      <c r="D53" s="16"/>
      <c r="E53" s="19"/>
      <c r="F53" s="19"/>
      <c r="G53" s="24">
        <f t="shared" si="6"/>
        <v>0.23102310231023104</v>
      </c>
    </row>
  </sheetData>
  <mergeCells count="21">
    <mergeCell ref="E39:E43"/>
    <mergeCell ref="F39:F43"/>
    <mergeCell ref="D44:D48"/>
    <mergeCell ref="E44:E48"/>
    <mergeCell ref="F44:F48"/>
    <mergeCell ref="D49:D53"/>
    <mergeCell ref="E49:E53"/>
    <mergeCell ref="F49:F53"/>
    <mergeCell ref="D25:D26"/>
    <mergeCell ref="E25:E26"/>
    <mergeCell ref="F25:F26"/>
    <mergeCell ref="D27:D29"/>
    <mergeCell ref="E27:E29"/>
    <mergeCell ref="F27:F29"/>
    <mergeCell ref="D30:D33"/>
    <mergeCell ref="E30:E33"/>
    <mergeCell ref="F30:F33"/>
    <mergeCell ref="D34:D38"/>
    <mergeCell ref="E34:E38"/>
    <mergeCell ref="F34:F38"/>
    <mergeCell ref="D39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venitedamehahaha@gmail.com</cp:lastModifiedBy>
  <dcterms:created xsi:type="dcterms:W3CDTF">2025-05-13T13:46:02Z</dcterms:created>
  <dcterms:modified xsi:type="dcterms:W3CDTF">2025-05-22T13:01:41Z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2025-05-13T00:00:00Z</vt:filetime>
  </property>
  <property fmtid="{D5CDD505-2E9C-101B-9397-08002B2CF9AE}" pid="3" name="Creator">
    <vt:lpwstr>TeX</vt:lpwstr>
  </property>
  <property fmtid="{D5CDD505-2E9C-101B-9397-08002B2CF9AE}" pid="4" name="LastSaved">
    <vt:filetime>2025-05-13T00:00:00Z</vt:filetime>
  </property>
  <property fmtid="{D5CDD505-2E9C-101B-9397-08002B2CF9AE}" pid="5" name="PTEX.Fullbanner">
    <vt:lpwstr>This is pdfTeX, Version 3.141592653-2.6-1.40.25 (TeX Live 2023/Debian) kpathsea version 6.3.5</vt:lpwstr>
  </property>
  <property fmtid="{D5CDD505-2E9C-101B-9397-08002B2CF9AE}" pid="6" name="Producer">
    <vt:lpwstr>pdfTeX-1.40.25</vt:lpwstr>
  </property>
</Properties>
</file>